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78" i="2"/>
  <c r="B65"/>
  <c r="B53"/>
  <c r="B40"/>
  <c r="B29"/>
  <c r="B18"/>
  <c r="B8"/>
  <c r="C6" i="1"/>
</calcChain>
</file>

<file path=xl/sharedStrings.xml><?xml version="1.0" encoding="utf-8"?>
<sst xmlns="http://schemas.openxmlformats.org/spreadsheetml/2006/main" count="68" uniqueCount="54">
  <si>
    <t>Sales</t>
  </si>
  <si>
    <t>Rate</t>
  </si>
  <si>
    <t>Student Name</t>
  </si>
  <si>
    <t>Riya</t>
  </si>
  <si>
    <t>Siya</t>
  </si>
  <si>
    <t>Raju</t>
  </si>
  <si>
    <t>Marks</t>
  </si>
  <si>
    <t>Rahul</t>
  </si>
  <si>
    <t>Ram</t>
  </si>
  <si>
    <t>Question 1.   Write a formula to check if the marks in cell are greater than or equal to 40. If yes, return B2 "Fail" .</t>
  </si>
  <si>
    <t>Question 2. A company gives a bonus  if sales are above 40,000 and attendance is greater than or equal to 90%. Write a formula to calculate whether the employee will get a bonus or not .</t>
  </si>
  <si>
    <t>Employee</t>
  </si>
  <si>
    <t>Arjun</t>
  </si>
  <si>
    <t>Simran</t>
  </si>
  <si>
    <t>Rohit</t>
  </si>
  <si>
    <t>Anjali</t>
  </si>
  <si>
    <t>Attendance</t>
  </si>
  <si>
    <t>RESULT</t>
  </si>
  <si>
    <t xml:space="preserve">Question 3. Write a nested IF formula:                                               If marks in  B2"A" are ≥ 90 → , ≥ 75 → , ≥ 50 → , otherwise, fail.
</t>
  </si>
  <si>
    <t>Raj</t>
  </si>
  <si>
    <t>Neha</t>
  </si>
  <si>
    <t>Vivek</t>
  </si>
  <si>
    <t>.</t>
  </si>
  <si>
    <t>Rani</t>
  </si>
  <si>
    <t>Sneha</t>
  </si>
  <si>
    <t>Question 4. Find the Department of Employee ID = E103. Also explain which LOOKUP function is used and why?</t>
  </si>
  <si>
    <t>EmpID</t>
  </si>
  <si>
    <t>E101</t>
  </si>
  <si>
    <t>E102</t>
  </si>
  <si>
    <t>E103</t>
  </si>
  <si>
    <t>Name</t>
  </si>
  <si>
    <t>Department</t>
  </si>
  <si>
    <t>Roshni</t>
  </si>
  <si>
    <t>E104</t>
  </si>
  <si>
    <t>Sejal</t>
  </si>
  <si>
    <t>IT</t>
  </si>
  <si>
    <t>HR</t>
  </si>
  <si>
    <t>Finance</t>
  </si>
  <si>
    <t>Sale</t>
  </si>
  <si>
    <t>Sales Amount</t>
  </si>
  <si>
    <t>Commission Rate</t>
  </si>
  <si>
    <t>Question 5. A company has set the following commission structure for its sales team:                                                                                                                                                                                                                                    If a salesperson achieves sales of ₹45,000, use the VLOOKUP function to determine the commission rate 
applicable</t>
  </si>
  <si>
    <t>Employee Name</t>
  </si>
  <si>
    <t>Alex</t>
  </si>
  <si>
    <t>Bob</t>
  </si>
  <si>
    <t>Leaves Taken</t>
  </si>
  <si>
    <t>Leaves Allowed</t>
  </si>
  <si>
    <t>Anna</t>
  </si>
  <si>
    <t xml:space="preserve">Question 7. Find the salary of EmpID = E105 using INDEX-MATCH Function.
</t>
  </si>
  <si>
    <t xml:space="preserve">Question 6. The HR department maintains the following leave records of employees:onus or not .                                                                                                                                                                            Write an IF function to check whether an employee has Exceeded their allowed leave balance.
* If Leaves Taken &gt; Allowed Leaves, display "Exceeded".
* Otherwise, display "OK"            
</t>
  </si>
  <si>
    <t>E105</t>
  </si>
  <si>
    <t>E106</t>
  </si>
  <si>
    <t>Salary</t>
  </si>
  <si>
    <r>
      <rPr>
        <b/>
        <sz val="11"/>
        <color rgb="FF002060"/>
        <rFont val="Calibri"/>
        <family val="2"/>
        <scheme val="minor"/>
      </rPr>
      <t>VLOOKUP use kiya kyunki:</t>
    </r>
    <r>
      <rPr>
        <sz val="11"/>
        <color theme="1"/>
        <rFont val="Calibri"/>
        <family val="2"/>
        <scheme val="minor"/>
      </rPr>
      <t xml:space="preserve">
*  Data vertically arranged hai
*  EmpID first column me hai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</si>
</sst>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4" fillId="3" borderId="0" xfId="0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8" fillId="5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0" fillId="0" borderId="9" xfId="0" applyBorder="1"/>
    <xf numFmtId="0" fontId="0" fillId="4" borderId="2" xfId="0" applyFill="1" applyBorder="1"/>
    <xf numFmtId="0" fontId="0" fillId="4" borderId="8" xfId="0" applyFill="1" applyBorder="1"/>
    <xf numFmtId="0" fontId="0" fillId="4" borderId="3" xfId="0" applyFill="1" applyBorder="1"/>
    <xf numFmtId="0" fontId="0" fillId="0" borderId="4" xfId="0" applyFont="1" applyBorder="1"/>
    <xf numFmtId="9" fontId="0" fillId="0" borderId="5" xfId="0" applyNumberFormat="1" applyFont="1" applyBorder="1"/>
    <xf numFmtId="0" fontId="0" fillId="0" borderId="6" xfId="0" applyFont="1" applyBorder="1"/>
    <xf numFmtId="9" fontId="0" fillId="0" borderId="7" xfId="0" applyNumberFormat="1" applyFont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0" xfId="0" applyFont="1" applyFill="1" applyAlignment="1">
      <alignment horizontal="left" wrapText="1"/>
    </xf>
    <xf numFmtId="0" fontId="0" fillId="0" borderId="9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212913</xdr:colOff>
      <xdr:row>6</xdr:row>
      <xdr:rowOff>145676</xdr:rowOff>
    </xdr:from>
    <xdr:to>
      <xdr:col>3</xdr:col>
      <xdr:colOff>339674</xdr:colOff>
      <xdr:row>8</xdr:row>
      <xdr:rowOff>103632</xdr:rowOff>
    </xdr:to>
    <xdr:sp macro="" textlink="">
      <xdr:nvSpPr>
        <xdr:cNvPr id="2" name="Left Arrow 1"/>
        <xdr:cNvSpPr/>
      </xdr:nvSpPr>
      <xdr:spPr>
        <a:xfrm>
          <a:off x="4863354" y="1983441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212911</xdr:colOff>
      <xdr:row>16</xdr:row>
      <xdr:rowOff>145677</xdr:rowOff>
    </xdr:from>
    <xdr:to>
      <xdr:col>3</xdr:col>
      <xdr:colOff>339672</xdr:colOff>
      <xdr:row>18</xdr:row>
      <xdr:rowOff>103633</xdr:rowOff>
    </xdr:to>
    <xdr:sp macro="" textlink="">
      <xdr:nvSpPr>
        <xdr:cNvPr id="3" name="Left Arrow 2"/>
        <xdr:cNvSpPr/>
      </xdr:nvSpPr>
      <xdr:spPr>
        <a:xfrm>
          <a:off x="4863352" y="5614148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145675</xdr:colOff>
      <xdr:row>27</xdr:row>
      <xdr:rowOff>100853</xdr:rowOff>
    </xdr:from>
    <xdr:to>
      <xdr:col>3</xdr:col>
      <xdr:colOff>560293</xdr:colOff>
      <xdr:row>29</xdr:row>
      <xdr:rowOff>137249</xdr:rowOff>
    </xdr:to>
    <xdr:sp macro="" textlink="">
      <xdr:nvSpPr>
        <xdr:cNvPr id="4" name="Left Arrow 3"/>
        <xdr:cNvSpPr/>
      </xdr:nvSpPr>
      <xdr:spPr>
        <a:xfrm>
          <a:off x="4896969" y="8594912"/>
          <a:ext cx="1266265" cy="56307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549089</xdr:colOff>
      <xdr:row>39</xdr:row>
      <xdr:rowOff>616324</xdr:rowOff>
    </xdr:from>
    <xdr:to>
      <xdr:col>4</xdr:col>
      <xdr:colOff>941294</xdr:colOff>
      <xdr:row>39</xdr:row>
      <xdr:rowOff>1179397</xdr:rowOff>
    </xdr:to>
    <xdr:sp macro="" textlink="">
      <xdr:nvSpPr>
        <xdr:cNvPr id="5" name="Left Arrow 4"/>
        <xdr:cNvSpPr/>
      </xdr:nvSpPr>
      <xdr:spPr>
        <a:xfrm>
          <a:off x="6521824" y="12326471"/>
          <a:ext cx="1501588" cy="56307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156883</xdr:colOff>
      <xdr:row>53</xdr:row>
      <xdr:rowOff>100853</xdr:rowOff>
    </xdr:to>
    <xdr:sp macro="" textlink="">
      <xdr:nvSpPr>
        <xdr:cNvPr id="6" name="Left Arrow 5"/>
        <xdr:cNvSpPr/>
      </xdr:nvSpPr>
      <xdr:spPr>
        <a:xfrm>
          <a:off x="4885765" y="17257059"/>
          <a:ext cx="1243853" cy="43702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156883</xdr:colOff>
      <xdr:row>65</xdr:row>
      <xdr:rowOff>100853</xdr:rowOff>
    </xdr:to>
    <xdr:sp macro="" textlink="">
      <xdr:nvSpPr>
        <xdr:cNvPr id="7" name="Left Arrow 6"/>
        <xdr:cNvSpPr/>
      </xdr:nvSpPr>
      <xdr:spPr>
        <a:xfrm>
          <a:off x="4885765" y="21907500"/>
          <a:ext cx="1243853" cy="43702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369794</xdr:colOff>
      <xdr:row>76</xdr:row>
      <xdr:rowOff>123264</xdr:rowOff>
    </xdr:from>
    <xdr:to>
      <xdr:col>3</xdr:col>
      <xdr:colOff>526677</xdr:colOff>
      <xdr:row>78</xdr:row>
      <xdr:rowOff>179293</xdr:rowOff>
    </xdr:to>
    <xdr:sp macro="" textlink="">
      <xdr:nvSpPr>
        <xdr:cNvPr id="8" name="Left Arrow 7"/>
        <xdr:cNvSpPr/>
      </xdr:nvSpPr>
      <xdr:spPr>
        <a:xfrm>
          <a:off x="5255559" y="25011529"/>
          <a:ext cx="1243853" cy="43702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D7" sqref="D7"/>
    </sheetView>
  </sheetViews>
  <sheetFormatPr defaultRowHeight="15"/>
  <cols>
    <col min="4" max="4" width="16.42578125" customWidth="1"/>
    <col min="5" max="5" width="15.5703125" customWidth="1"/>
  </cols>
  <sheetData>
    <row r="1" spans="1:5">
      <c r="A1" s="1" t="s">
        <v>0</v>
      </c>
      <c r="B1" s="1" t="s">
        <v>1</v>
      </c>
    </row>
    <row r="2" spans="1:5">
      <c r="A2" s="2">
        <v>0</v>
      </c>
      <c r="B2" s="3">
        <v>0.05</v>
      </c>
    </row>
    <row r="3" spans="1:5">
      <c r="A3" s="2">
        <v>20000</v>
      </c>
      <c r="B3" s="3">
        <v>0.1</v>
      </c>
      <c r="D3" s="1"/>
      <c r="E3" s="1"/>
    </row>
    <row r="4" spans="1:5">
      <c r="A4" s="2">
        <v>50000</v>
      </c>
      <c r="B4" s="3">
        <v>0.15</v>
      </c>
      <c r="D4" s="2"/>
      <c r="E4" s="3"/>
    </row>
    <row r="5" spans="1:5">
      <c r="A5" s="2">
        <v>80000</v>
      </c>
      <c r="B5" s="3">
        <v>0.2</v>
      </c>
      <c r="D5" s="2"/>
      <c r="E5" s="3"/>
    </row>
    <row r="6" spans="1:5">
      <c r="C6">
        <f>VLOOKUP(45000,A2:B5,2,TRUE)</f>
        <v>0.1</v>
      </c>
      <c r="D6" s="2"/>
      <c r="E6" s="3"/>
    </row>
    <row r="7" spans="1:5">
      <c r="D7" s="2"/>
      <c r="E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tabSelected="1" topLeftCell="A75" zoomScale="85" zoomScaleNormal="85" workbookViewId="0">
      <selection activeCell="B87" sqref="B87"/>
    </sheetView>
  </sheetViews>
  <sheetFormatPr defaultRowHeight="15"/>
  <cols>
    <col min="1" max="1" width="56.42578125" customWidth="1"/>
    <col min="2" max="2" width="16.85546875" customWidth="1"/>
    <col min="3" max="3" width="16.28515625" customWidth="1"/>
    <col min="4" max="4" width="16.7109375" customWidth="1"/>
    <col min="5" max="5" width="17.5703125" customWidth="1"/>
    <col min="6" max="6" width="20.85546875" customWidth="1"/>
  </cols>
  <sheetData>
    <row r="1" spans="1:5" ht="69.75">
      <c r="A1" s="5" t="s">
        <v>9</v>
      </c>
      <c r="B1" s="27" t="s">
        <v>2</v>
      </c>
      <c r="C1" s="27" t="s">
        <v>6</v>
      </c>
    </row>
    <row r="2" spans="1:5">
      <c r="B2" s="4" t="s">
        <v>3</v>
      </c>
      <c r="C2" s="4">
        <v>45</v>
      </c>
    </row>
    <row r="3" spans="1:5">
      <c r="B3" s="4" t="s">
        <v>4</v>
      </c>
      <c r="C3" s="4">
        <v>72</v>
      </c>
    </row>
    <row r="4" spans="1:5">
      <c r="B4" s="4" t="s">
        <v>5</v>
      </c>
      <c r="C4" s="4">
        <v>55</v>
      </c>
    </row>
    <row r="5" spans="1:5">
      <c r="B5" s="4" t="s">
        <v>7</v>
      </c>
      <c r="C5" s="4">
        <v>80</v>
      </c>
    </row>
    <row r="6" spans="1:5">
      <c r="B6" s="4" t="s">
        <v>8</v>
      </c>
      <c r="C6" s="4">
        <v>30</v>
      </c>
    </row>
    <row r="8" spans="1:5" ht="26.25">
      <c r="B8" s="6" t="str">
        <f>IF(B2&gt;=40,"Pass","Fail")</f>
        <v>Pass</v>
      </c>
      <c r="E8" s="8" t="s">
        <v>17</v>
      </c>
    </row>
    <row r="11" spans="1:5" ht="139.5">
      <c r="A11" s="22" t="s">
        <v>10</v>
      </c>
      <c r="B11" s="26" t="s">
        <v>11</v>
      </c>
      <c r="C11" s="26" t="s">
        <v>0</v>
      </c>
      <c r="D11" s="26" t="s">
        <v>16</v>
      </c>
    </row>
    <row r="12" spans="1:5">
      <c r="B12" s="7" t="s">
        <v>12</v>
      </c>
      <c r="C12" s="7">
        <v>55000</v>
      </c>
      <c r="D12" s="7">
        <v>95</v>
      </c>
    </row>
    <row r="13" spans="1:5">
      <c r="B13" s="7" t="s">
        <v>13</v>
      </c>
      <c r="C13" s="7">
        <v>65000</v>
      </c>
      <c r="D13" s="7">
        <v>85</v>
      </c>
    </row>
    <row r="14" spans="1:5">
      <c r="B14" s="7" t="s">
        <v>14</v>
      </c>
      <c r="C14" s="7">
        <v>30000</v>
      </c>
      <c r="D14" s="7">
        <v>90</v>
      </c>
    </row>
    <row r="15" spans="1:5">
      <c r="B15" s="7" t="s">
        <v>15</v>
      </c>
      <c r="C15" s="7">
        <v>25000</v>
      </c>
      <c r="D15" s="7">
        <v>65</v>
      </c>
    </row>
    <row r="18" spans="1:5" ht="26.25">
      <c r="B18" s="6" t="str">
        <f>IF(AND(B12&gt;40000,C12&gt;=90%),"Bonus","No Bonus")</f>
        <v>Bonus</v>
      </c>
      <c r="E18" s="8" t="s">
        <v>17</v>
      </c>
    </row>
    <row r="20" spans="1:5" ht="15.75" thickBot="1"/>
    <row r="21" spans="1:5" ht="93.75">
      <c r="A21" s="23" t="s">
        <v>18</v>
      </c>
      <c r="B21" s="24" t="s">
        <v>2</v>
      </c>
      <c r="C21" s="25" t="s">
        <v>6</v>
      </c>
    </row>
    <row r="22" spans="1:5">
      <c r="B22" s="17" t="s">
        <v>19</v>
      </c>
      <c r="C22" s="18">
        <v>85</v>
      </c>
    </row>
    <row r="23" spans="1:5">
      <c r="B23" s="17" t="s">
        <v>20</v>
      </c>
      <c r="C23" s="18">
        <v>96</v>
      </c>
    </row>
    <row r="24" spans="1:5">
      <c r="B24" s="17" t="s">
        <v>21</v>
      </c>
      <c r="C24" s="18">
        <v>57</v>
      </c>
    </row>
    <row r="25" spans="1:5">
      <c r="B25" s="17" t="s">
        <v>23</v>
      </c>
      <c r="C25" s="18">
        <v>92</v>
      </c>
    </row>
    <row r="26" spans="1:5" ht="15.75" thickBot="1">
      <c r="B26" s="19" t="s">
        <v>24</v>
      </c>
      <c r="C26" s="20">
        <v>75</v>
      </c>
    </row>
    <row r="29" spans="1:5" ht="26.25">
      <c r="B29" s="21" t="str">
        <f>IF(B2&gt;=90,"A",IF(B2&gt;=75,"B",IF(B2&gt;=50,"C","Fail")))</f>
        <v>A</v>
      </c>
      <c r="E29" s="8" t="s">
        <v>17</v>
      </c>
    </row>
    <row r="31" spans="1:5">
      <c r="B31" t="s">
        <v>22</v>
      </c>
    </row>
    <row r="33" spans="1:6" ht="15.75" thickBot="1"/>
    <row r="34" spans="1:6" ht="56.25">
      <c r="A34" s="29" t="s">
        <v>25</v>
      </c>
      <c r="B34" s="31" t="s">
        <v>26</v>
      </c>
      <c r="C34" s="32" t="s">
        <v>30</v>
      </c>
      <c r="D34" s="33" t="s">
        <v>31</v>
      </c>
    </row>
    <row r="35" spans="1:6">
      <c r="B35" s="9" t="s">
        <v>27</v>
      </c>
      <c r="C35" s="7" t="s">
        <v>5</v>
      </c>
      <c r="D35" s="10" t="s">
        <v>35</v>
      </c>
    </row>
    <row r="36" spans="1:6">
      <c r="B36" s="9" t="s">
        <v>28</v>
      </c>
      <c r="C36" s="7" t="s">
        <v>3</v>
      </c>
      <c r="D36" s="10" t="s">
        <v>36</v>
      </c>
    </row>
    <row r="37" spans="1:6">
      <c r="B37" s="9" t="s">
        <v>29</v>
      </c>
      <c r="C37" s="7" t="s">
        <v>32</v>
      </c>
      <c r="D37" s="10" t="s">
        <v>37</v>
      </c>
    </row>
    <row r="38" spans="1:6" ht="15.75" thickBot="1">
      <c r="B38" s="11" t="s">
        <v>33</v>
      </c>
      <c r="C38" s="30" t="s">
        <v>34</v>
      </c>
      <c r="D38" s="12" t="s">
        <v>38</v>
      </c>
    </row>
    <row r="40" spans="1:6" ht="122.25">
      <c r="B40" s="47" t="str">
        <f>VLOOKUP("E103",B37:D37,3,FALSE)</f>
        <v>Finance</v>
      </c>
      <c r="C40" s="2" t="s">
        <v>53</v>
      </c>
      <c r="F40" s="8" t="s">
        <v>17</v>
      </c>
    </row>
    <row r="45" spans="1:6" ht="15.75" thickBot="1"/>
    <row r="46" spans="1:6" ht="147">
      <c r="A46" s="28" t="s">
        <v>41</v>
      </c>
      <c r="B46" s="38" t="s">
        <v>39</v>
      </c>
      <c r="C46" s="39" t="s">
        <v>40</v>
      </c>
    </row>
    <row r="47" spans="1:6">
      <c r="B47" s="34">
        <v>0</v>
      </c>
      <c r="C47" s="35">
        <v>0.05</v>
      </c>
    </row>
    <row r="48" spans="1:6">
      <c r="B48" s="34">
        <v>20000</v>
      </c>
      <c r="C48" s="35">
        <v>0.1</v>
      </c>
    </row>
    <row r="49" spans="1:5">
      <c r="B49" s="34">
        <v>50000</v>
      </c>
      <c r="C49" s="35">
        <v>0.15</v>
      </c>
    </row>
    <row r="50" spans="1:5" ht="15.75" thickBot="1">
      <c r="B50" s="36">
        <v>80000</v>
      </c>
      <c r="C50" s="37">
        <v>0.2</v>
      </c>
    </row>
    <row r="53" spans="1:5" ht="26.25">
      <c r="B53" s="47">
        <f>VLOOKUP(45000,B47:C50,2,TRUE)</f>
        <v>0.1</v>
      </c>
      <c r="E53" s="8" t="s">
        <v>17</v>
      </c>
    </row>
    <row r="58" spans="1:5" ht="15.75" thickBot="1"/>
    <row r="59" spans="1:5" ht="187.5">
      <c r="A59" s="40" t="s">
        <v>49</v>
      </c>
      <c r="B59" s="42" t="s">
        <v>42</v>
      </c>
      <c r="C59" s="43" t="s">
        <v>45</v>
      </c>
      <c r="D59" s="44" t="s">
        <v>46</v>
      </c>
    </row>
    <row r="60" spans="1:5">
      <c r="B60" s="13" t="s">
        <v>43</v>
      </c>
      <c r="C60" s="4">
        <v>10</v>
      </c>
      <c r="D60" s="14">
        <v>12</v>
      </c>
    </row>
    <row r="61" spans="1:5">
      <c r="B61" s="13" t="s">
        <v>44</v>
      </c>
      <c r="C61" s="4">
        <v>10</v>
      </c>
      <c r="D61" s="14">
        <v>15</v>
      </c>
    </row>
    <row r="62" spans="1:5" ht="15.75" thickBot="1">
      <c r="B62" s="15" t="s">
        <v>47</v>
      </c>
      <c r="C62" s="41">
        <v>8</v>
      </c>
      <c r="D62" s="16">
        <v>12</v>
      </c>
    </row>
    <row r="65" spans="1:5" ht="26.25">
      <c r="B65" s="21" t="str">
        <f>IF(C2&gt;B2,"Exceeded","OK")</f>
        <v>OK</v>
      </c>
      <c r="E65" s="8" t="s">
        <v>17</v>
      </c>
    </row>
    <row r="70" spans="1:5" ht="15.75" thickBot="1"/>
    <row r="71" spans="1:5" ht="56.25">
      <c r="A71" s="40" t="s">
        <v>48</v>
      </c>
      <c r="B71" s="45" t="s">
        <v>26</v>
      </c>
      <c r="C71" s="46" t="s">
        <v>52</v>
      </c>
    </row>
    <row r="72" spans="1:5">
      <c r="B72" s="13" t="s">
        <v>33</v>
      </c>
      <c r="C72" s="14">
        <v>55000</v>
      </c>
    </row>
    <row r="73" spans="1:5">
      <c r="B73" s="13" t="s">
        <v>50</v>
      </c>
      <c r="C73" s="14">
        <v>72000</v>
      </c>
    </row>
    <row r="74" spans="1:5">
      <c r="B74" s="13" t="s">
        <v>51</v>
      </c>
      <c r="C74" s="14">
        <v>62000</v>
      </c>
    </row>
    <row r="75" spans="1:5" ht="15.75" thickBot="1">
      <c r="B75" s="15" t="s">
        <v>28</v>
      </c>
      <c r="C75" s="16">
        <v>41000</v>
      </c>
    </row>
    <row r="78" spans="1:5" ht="26.25">
      <c r="B78" s="48">
        <f>INDEX(C72:C75,MATCH("E105",B72:B75,0))</f>
        <v>72000</v>
      </c>
      <c r="E78" s="8" t="s">
        <v>17</v>
      </c>
    </row>
    <row r="85" spans="1:3" ht="18.75">
      <c r="A85" s="49"/>
      <c r="B85" s="50"/>
      <c r="C85" s="50"/>
    </row>
    <row r="86" spans="1:3">
      <c r="A86" s="51"/>
      <c r="B86" s="51"/>
      <c r="C86" s="51"/>
    </row>
    <row r="87" spans="1:3">
      <c r="A87" s="51"/>
      <c r="B87" s="51"/>
      <c r="C87" s="51"/>
    </row>
    <row r="88" spans="1:3">
      <c r="A88" s="51"/>
      <c r="B88" s="51"/>
      <c r="C88" s="51"/>
    </row>
    <row r="89" spans="1:3">
      <c r="A89" s="51"/>
      <c r="B89" s="51"/>
      <c r="C89" s="51"/>
    </row>
    <row r="90" spans="1:3">
      <c r="A90" s="51"/>
      <c r="B90" s="51"/>
      <c r="C90" s="51"/>
    </row>
    <row r="91" spans="1:3">
      <c r="A91" s="51"/>
      <c r="B91" s="51"/>
      <c r="C91" s="51"/>
    </row>
    <row r="92" spans="1:3">
      <c r="A92" s="51"/>
      <c r="B92" s="51"/>
      <c r="C92" s="51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2026-02-18T16:56:34Z</dcterms:created>
  <dcterms:modified xsi:type="dcterms:W3CDTF">2026-02-24T17:50:59Z</dcterms:modified>
</cp:coreProperties>
</file>